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gnizantonline-my.sharepoint.com/personal/2240934_cognizant_com/Documents/"/>
    </mc:Choice>
  </mc:AlternateContent>
  <xr:revisionPtr revIDLastSave="4" documentId="8_{191357B0-8D6A-4AB4-8550-5574124524F1}" xr6:coauthVersionLast="47" xr6:coauthVersionMax="47" xr10:uidLastSave="{918B350D-76B0-48EC-9892-4ADDF58A6720}"/>
  <bookViews>
    <workbookView xWindow="1350" yWindow="-16200" windowWidth="24660" windowHeight="15585" activeTab="1" xr2:uid="{659B0452-468D-418E-8613-D65F633D8BBB}"/>
  </bookViews>
  <sheets>
    <sheet name="LOG" sheetId="3" r:id="rId1"/>
    <sheet name="Volante_UtilizationLog_12AUG202" sheetId="8" r:id="rId2"/>
    <sheet name="Ref" sheetId="2" state="hidden" r:id="rId3"/>
  </sheets>
  <definedNames>
    <definedName name="ACTIVITY">Ref!$D$2:$D$12</definedName>
    <definedName name="EID">Ref!$A$2:$A$19</definedName>
    <definedName name="LCEP_EID">Ref!$A$2:$A$4</definedName>
    <definedName name="LCEP_NAME">Ref!$B$2:$B$4</definedName>
    <definedName name="LOCATION">Ref!$F$2:$F$10</definedName>
    <definedName name="LSS_EID">Ref!$D$2:$D$6</definedName>
    <definedName name="LSS_NAME">Ref!$C$2:$C$5</definedName>
    <definedName name="NAME">Ref!$B$2:$B$19</definedName>
    <definedName name="PORTFOLIO">Ref!$C$2:$C$19</definedName>
    <definedName name="USRN_EID">Ref!$F$2:$F$5</definedName>
    <definedName name="USRN_NAME">Ref!$G$2:$G$5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8" l="1"/>
  <c r="I3" i="8" l="1"/>
  <c r="I4" i="8" l="1"/>
  <c r="I5" i="8" l="1"/>
  <c r="I6" i="8" l="1"/>
  <c r="I7" i="8"/>
  <c r="I8" i="8" l="1"/>
  <c r="I9" i="8"/>
  <c r="I10" i="8" l="1"/>
  <c r="I11" i="8" l="1"/>
  <c r="I12" i="8"/>
  <c r="I13" i="8"/>
  <c r="I14" i="8" l="1"/>
  <c r="I15" i="8" l="1"/>
  <c r="I16" i="8"/>
  <c r="I17" i="8" l="1"/>
  <c r="I18" i="8" l="1"/>
  <c r="I19" i="8" l="1"/>
  <c r="I20" i="8" l="1"/>
  <c r="I21" i="8" l="1"/>
  <c r="I22" i="8" l="1"/>
  <c r="I23" i="8" l="1"/>
  <c r="I24" i="8"/>
  <c r="I25" i="8"/>
  <c r="I28" i="8"/>
  <c r="I31" i="8"/>
  <c r="I30" i="8"/>
  <c r="I29" i="8"/>
  <c r="I27" i="8"/>
  <c r="I26" i="8"/>
  <c r="R2" i="3"/>
  <c r="Q2" i="3" l="1"/>
  <c r="P2" i="3"/>
  <c r="O2" i="3"/>
  <c r="L2" i="3"/>
  <c r="N2" i="3" s="1"/>
  <c r="M2" i="3" l="1"/>
</calcChain>
</file>

<file path=xl/sharedStrings.xml><?xml version="1.0" encoding="utf-8"?>
<sst xmlns="http://schemas.openxmlformats.org/spreadsheetml/2006/main" count="307" uniqueCount="109">
  <si>
    <t>EID</t>
  </si>
  <si>
    <t>Name</t>
  </si>
  <si>
    <t>Portfolio</t>
  </si>
  <si>
    <t>Location</t>
  </si>
  <si>
    <t>Activity Category</t>
  </si>
  <si>
    <t>Specific Outcome/s</t>
  </si>
  <si>
    <t>Working Hours Spent</t>
  </si>
  <si>
    <t>IOA Academy PH - Utilization Log</t>
  </si>
  <si>
    <t>Category Descriptions</t>
  </si>
  <si>
    <t>Admin</t>
  </si>
  <si>
    <t>Emails, Scheduling, Tracker Update, Logisitics, Reports, Data Mgmt</t>
  </si>
  <si>
    <t>Content Development</t>
  </si>
  <si>
    <t>New/Revision of Materials</t>
  </si>
  <si>
    <t>Meetings (I/E)</t>
  </si>
  <si>
    <t>Meetings that aren't 1:1</t>
  </si>
  <si>
    <t>Other Core Functions</t>
  </si>
  <si>
    <t>Roles outside of current functions but BAU example: Learning Partners, VnA, RFP, Etc…</t>
  </si>
  <si>
    <t>People Management</t>
  </si>
  <si>
    <t>Regular Coaching and Feedback, monitoring of associates</t>
  </si>
  <si>
    <t>WFH</t>
  </si>
  <si>
    <t>Post Training Support</t>
  </si>
  <si>
    <t>Certification phase and requirement completion</t>
  </si>
  <si>
    <t>Project Management</t>
  </si>
  <si>
    <t>All initiatives that are not yet BAU example: S.T.E.E.L., ContinUlearn</t>
  </si>
  <si>
    <t>Time Spent (hours)</t>
  </si>
  <si>
    <t>Shrinkage</t>
  </si>
  <si>
    <t>Leaves only</t>
  </si>
  <si>
    <t>Training Delivery (I/E)</t>
  </si>
  <si>
    <t>Actual class facilitation</t>
  </si>
  <si>
    <t>Activity Outcome</t>
  </si>
  <si>
    <t>Upskilling</t>
  </si>
  <si>
    <t>Trainings internal or external</t>
  </si>
  <si>
    <t>Events/Engagement (I/E)</t>
  </si>
  <si>
    <t>Outreach, other company events outside core function</t>
  </si>
  <si>
    <t>I/E = Internal/External</t>
  </si>
  <si>
    <t>Month</t>
  </si>
  <si>
    <t>Dionela, Eldon</t>
  </si>
  <si>
    <t>USRN Academy - InterQual</t>
  </si>
  <si>
    <t>Learning Services &amp; Solutions</t>
  </si>
  <si>
    <t>Onsite - Skyrise</t>
  </si>
  <si>
    <t>Pre-Process Programs</t>
  </si>
  <si>
    <t>Onsite - Giga</t>
  </si>
  <si>
    <t>Girao, Viju Jess</t>
  </si>
  <si>
    <t>PHL BU Lead</t>
  </si>
  <si>
    <t>Leadership and Continuing Education Programs</t>
  </si>
  <si>
    <t>Paparro,Ian</t>
  </si>
  <si>
    <t>Onsite - SH2</t>
  </si>
  <si>
    <t>Almazora, Mari John Vrian</t>
  </si>
  <si>
    <t>Category</t>
  </si>
  <si>
    <t>Descriptions</t>
  </si>
  <si>
    <t>Onsite - 1820</t>
  </si>
  <si>
    <t>USRN Academy - NCLEX Review</t>
  </si>
  <si>
    <t>Volante, Ma. Cristine</t>
  </si>
  <si>
    <t>v 1.1</t>
  </si>
  <si>
    <t>Last Entry</t>
  </si>
  <si>
    <t>Time Logged</t>
  </si>
  <si>
    <t>Last Change Request</t>
  </si>
  <si>
    <t>Last Deletion Request</t>
  </si>
  <si>
    <t>Onsite - SH4</t>
  </si>
  <si>
    <t>Working Hrs Spent</t>
  </si>
  <si>
    <t>TimeStamp</t>
  </si>
  <si>
    <t>Asistorres,Noah</t>
  </si>
  <si>
    <t>Anand,Joanne</t>
  </si>
  <si>
    <t xml:space="preserve">Ilio, Gerlita </t>
  </si>
  <si>
    <t>Barredo,Louis Anne</t>
  </si>
  <si>
    <t>Yoro,Andre Paolo</t>
  </si>
  <si>
    <t>Ona,Michael Benson</t>
  </si>
  <si>
    <t>CO,Jefferson</t>
  </si>
  <si>
    <t>Solon,Cherie Lou</t>
  </si>
  <si>
    <t>Rulloda,Ramon Iii</t>
  </si>
  <si>
    <t>Sta. Ana,James Francis</t>
  </si>
  <si>
    <t>Turqueza,Dericka Michelle</t>
  </si>
  <si>
    <t>Montes,Lois</t>
  </si>
  <si>
    <t>Carballo,Anne Marie Kristine</t>
  </si>
  <si>
    <t>Onsite - Dumaguete</t>
  </si>
  <si>
    <t>Onsite - Pangasinan</t>
  </si>
  <si>
    <t>Remote - WFH</t>
  </si>
  <si>
    <t>Remote - Client/Offsite</t>
  </si>
  <si>
    <t>LifeScience Acdemy Partner Activity (Training Inquiry and SkillUp Course assistance</t>
  </si>
  <si>
    <t>Checked and reply to emails, checked and plan for this week activities</t>
  </si>
  <si>
    <t>Finished 2024 Initial IQ Inpatient Rehabilitation IRR - Battery Exam</t>
  </si>
  <si>
    <t>Watched Recording for Github Copilot Vibe Coding to learn and get idea for the Vibe Coding event project</t>
  </si>
  <si>
    <t>Checked email, Checked Batch 9 Status after NCLEX (virtual)</t>
  </si>
  <si>
    <t>Provided support for Academy's Learn and Earn Event</t>
  </si>
  <si>
    <t>Watch Github Recordings for Vibe Coding Event</t>
  </si>
  <si>
    <t>Gathered feedback from Salim Alim about his recent NCLEX Exam and share his result</t>
  </si>
  <si>
    <t>Gathered data for NCLEX report</t>
  </si>
  <si>
    <t>Report Consilidation and Analysis of NCLEX batches result</t>
  </si>
  <si>
    <t>Finished the initial draft of  "USRN Acdemy Batch Performance and  Pass Rate Report"</t>
  </si>
  <si>
    <t>Checked and prepared the Pre-employment ELMs for Trainees</t>
  </si>
  <si>
    <t>Joined the Post-NCLEX meeting with USRN Academy Batch 9</t>
  </si>
  <si>
    <t>Practiced coding for Vibe coding event</t>
  </si>
  <si>
    <t>Attended the H2 Townhall Meeting</t>
  </si>
  <si>
    <t>Preapared,updated and cascade  the LifeScience SillUp Report</t>
  </si>
  <si>
    <t>Co-facilatate Interqual Training for Batch 9</t>
  </si>
  <si>
    <t>USRN Academy Weekly Team Meeting</t>
  </si>
  <si>
    <t>Sorted files to be use in creating Knowledge-base Sharepoint for Nuero/ENT</t>
  </si>
  <si>
    <t>Co-Faciliatated Interqual Training for USRN Batch 9</t>
  </si>
  <si>
    <t>Attempted to create Dashboard for Vibe Coding Project, waiting for Python to be installed</t>
  </si>
  <si>
    <t>Assisted LifeScience Leaders SkillUp inqiuries</t>
  </si>
  <si>
    <t>Checked messeges and provided reply as needed</t>
  </si>
  <si>
    <t>Co-fascilitated InterQual Training for USRN Batch 9</t>
  </si>
  <si>
    <t>Organized concept/content  for Sharepoint Knowledge-base for Nuero/ENT</t>
  </si>
  <si>
    <t>Managed Emails, plan schedules for the week, followed up SNOW Tickect</t>
  </si>
  <si>
    <t>Co-fascilited InterQual Training for USRN Batch 9</t>
  </si>
  <si>
    <t>Assisted Life Science Member for SkillUp ccourse completion - Course Completed</t>
  </si>
  <si>
    <t>Python Interpreter Installation c/o Cognizant IT Support - processing</t>
  </si>
  <si>
    <t>Attempted to create Academy Dashboard with GitHub Copilot - still having debugging problem</t>
  </si>
  <si>
    <t>Co-fasciltated InterQual Training for USRN Batch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</si>
</sst>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m\ dd\,\ yyyy\ hh:mm"/>
    <numFmt numFmtId="165" formatCode="mm/dd/yyyy\ hh:mm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0" borderId="0" xfId="0" applyAlignment="1">
      <alignment horizontal="center"/>
    </xf>
    <xf numFmtId="0" fontId="0" fillId="4" borderId="0" xfId="0" applyFill="1"/>
    <xf numFmtId="0" fontId="2" fillId="4" borderId="0" xfId="0" applyFont="1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6" fillId="4" borderId="0" xfId="0" applyFont="1" applyFill="1" applyAlignment="1">
      <alignment horizontal="center"/>
    </xf>
    <xf numFmtId="0" fontId="3" fillId="5" borderId="3" xfId="0" applyFont="1" applyFill="1" applyBorder="1" applyAlignment="1" applyProtection="1">
      <alignment horizontal="center"/>
      <protection locked="0"/>
    </xf>
    <xf numFmtId="0" fontId="0" fillId="4" borderId="0" xfId="0" applyFill="1" applyProtection="1">
      <protection hidden="1"/>
    </xf>
    <xf numFmtId="0" fontId="2" fillId="4" borderId="0" xfId="0" applyFont="1" applyFill="1" applyAlignment="1" applyProtection="1">
      <alignment horizontal="center"/>
      <protection hidden="1"/>
    </xf>
    <xf numFmtId="0" fontId="5" fillId="4" borderId="0" xfId="0" applyFont="1" applyFill="1" applyAlignment="1" applyProtection="1">
      <alignment horizontal="center" vertical="center"/>
      <protection hidden="1"/>
    </xf>
    <xf numFmtId="0" fontId="0" fillId="5" borderId="10" xfId="0" applyFill="1" applyBorder="1" applyAlignment="1" applyProtection="1">
      <alignment horizontal="left" vertical="center" indent="1"/>
      <protection hidden="1"/>
    </xf>
    <xf numFmtId="0" fontId="0" fillId="5" borderId="2" xfId="0" applyFill="1" applyBorder="1" applyAlignment="1" applyProtection="1">
      <alignment horizontal="left" vertical="center" indent="1"/>
      <protection hidden="1"/>
    </xf>
    <xf numFmtId="0" fontId="0" fillId="5" borderId="11" xfId="0" applyFill="1" applyBorder="1" applyAlignment="1" applyProtection="1">
      <alignment horizontal="left" vertical="center" indent="1"/>
      <protection hidden="1"/>
    </xf>
    <xf numFmtId="0" fontId="0" fillId="4" borderId="0" xfId="0" applyFill="1" applyAlignment="1">
      <alignment horizontal="center" vertical="center"/>
    </xf>
    <xf numFmtId="164" fontId="7" fillId="4" borderId="0" xfId="0" applyNumberFormat="1" applyFont="1" applyFill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5" fillId="5" borderId="8" xfId="0" applyFont="1" applyFill="1" applyBorder="1" applyAlignment="1" applyProtection="1">
      <alignment horizontal="left" vertical="center"/>
      <protection hidden="1"/>
    </xf>
    <xf numFmtId="0" fontId="5" fillId="5" borderId="7" xfId="0" applyFont="1" applyFill="1" applyBorder="1" applyAlignment="1" applyProtection="1">
      <alignment horizontal="left" vertical="center"/>
      <protection hidden="1"/>
    </xf>
    <xf numFmtId="0" fontId="5" fillId="5" borderId="9" xfId="0" applyFont="1" applyFill="1" applyBorder="1" applyAlignment="1" applyProtection="1">
      <alignment horizontal="left" vertical="center"/>
      <protection hidden="1"/>
    </xf>
    <xf numFmtId="165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2" fillId="6" borderId="3" xfId="0" applyFont="1" applyFill="1" applyBorder="1" applyAlignment="1" applyProtection="1">
      <alignment horizontal="center"/>
      <protection hidden="1"/>
    </xf>
    <xf numFmtId="20" fontId="0" fillId="0" borderId="0" xfId="0" applyNumberFormat="1"/>
    <xf numFmtId="0" fontId="0" fillId="4" borderId="0" xfId="0" applyFill="1" applyAlignment="1">
      <alignment horizontal="center"/>
    </xf>
    <xf numFmtId="20" fontId="2" fillId="6" borderId="3" xfId="0" applyNumberFormat="1" applyFont="1" applyFill="1" applyBorder="1" applyAlignment="1" applyProtection="1">
      <alignment horizontal="center"/>
      <protection locked="0"/>
    </xf>
    <xf numFmtId="165" fontId="0" fillId="0" borderId="0" xfId="0" applyNumberFormat="1" applyAlignment="1">
      <alignment horizontal="left" vertical="center"/>
    </xf>
    <xf numFmtId="165" fontId="0" fillId="0" borderId="0" xfId="0" applyNumberFormat="1"/>
    <xf numFmtId="0" fontId="0" fillId="0" borderId="2" xfId="0" applyBorder="1"/>
    <xf numFmtId="0" fontId="4" fillId="5" borderId="4" xfId="0" applyFont="1" applyFill="1" applyBorder="1" applyAlignment="1" applyProtection="1">
      <alignment horizontal="center" vertical="center" wrapText="1"/>
      <protection locked="0"/>
    </xf>
    <xf numFmtId="0" fontId="4" fillId="5" borderId="5" xfId="0" applyFont="1" applyFill="1" applyBorder="1" applyAlignment="1" applyProtection="1">
      <alignment horizontal="center" vertical="center"/>
      <protection locked="0"/>
    </xf>
    <xf numFmtId="0" fontId="4" fillId="5" borderId="6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16</xdr:row>
          <xdr:rowOff>137160</xdr:rowOff>
        </xdr:from>
        <xdr:to>
          <xdr:col>3</xdr:col>
          <xdr:colOff>2087880</xdr:colOff>
          <xdr:row>17</xdr:row>
          <xdr:rowOff>121920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89220</xdr:colOff>
      <xdr:row>0</xdr:row>
      <xdr:rowOff>95250</xdr:rowOff>
    </xdr:from>
    <xdr:to>
      <xdr:col>2</xdr:col>
      <xdr:colOff>1733376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535631-F030-457B-8B53-9F54965C9D2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20" y="95250"/>
          <a:ext cx="1958481" cy="495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17</xdr:row>
          <xdr:rowOff>274320</xdr:rowOff>
        </xdr:from>
        <xdr:to>
          <xdr:col>3</xdr:col>
          <xdr:colOff>2080260</xdr:colOff>
          <xdr:row>18</xdr:row>
          <xdr:rowOff>160020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Change Time 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19</xdr:row>
          <xdr:rowOff>137160</xdr:rowOff>
        </xdr:from>
        <xdr:to>
          <xdr:col>3</xdr:col>
          <xdr:colOff>2080260</xdr:colOff>
          <xdr:row>21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Deletion 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9</xdr:row>
          <xdr:rowOff>236220</xdr:rowOff>
        </xdr:from>
        <xdr:to>
          <xdr:col>5</xdr:col>
          <xdr:colOff>198120</xdr:colOff>
          <xdr:row>11</xdr:row>
          <xdr:rowOff>30480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Enter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729A7-99AF-4435-8DD1-AA589A82D5AF}">
  <sheetPr codeName="Sheet1"/>
  <dimension ref="B1:S58"/>
  <sheetViews>
    <sheetView showGridLines="0" topLeftCell="B1" zoomScaleNormal="100" workbookViewId="0">
      <selection activeCell="D13" sqref="D13:D16"/>
    </sheetView>
  </sheetViews>
  <sheetFormatPr defaultColWidth="0" defaultRowHeight="14.4" zeroHeight="1" x14ac:dyDescent="0.3"/>
  <cols>
    <col min="1" max="1" width="9.109375" hidden="1" customWidth="1"/>
    <col min="2" max="2" width="4.5546875" customWidth="1"/>
    <col min="3" max="3" width="27.6640625" customWidth="1"/>
    <col min="4" max="4" width="40.88671875" bestFit="1" customWidth="1"/>
    <col min="5" max="5" width="4.88671875" customWidth="1"/>
    <col min="6" max="6" width="6.5546875" customWidth="1"/>
    <col min="7" max="7" width="26" customWidth="1"/>
    <col min="8" max="8" width="68.33203125" customWidth="1"/>
    <col min="9" max="9" width="5.5546875" customWidth="1"/>
    <col min="10" max="12" width="9.109375" hidden="1" customWidth="1"/>
    <col min="13" max="13" width="21.6640625" hidden="1" customWidth="1"/>
    <col min="14" max="14" width="27.109375" hidden="1" customWidth="1"/>
    <col min="15" max="16" width="20.109375" hidden="1" customWidth="1"/>
    <col min="17" max="17" width="47.33203125" hidden="1" customWidth="1"/>
    <col min="18" max="18" width="20.109375" hidden="1" customWidth="1"/>
    <col min="19" max="19" width="21" hidden="1" customWidth="1"/>
    <col min="20" max="16384" width="9.109375" hidden="1"/>
  </cols>
  <sheetData>
    <row r="1" spans="2:19" x14ac:dyDescent="0.3">
      <c r="B1" s="7"/>
      <c r="C1" s="7"/>
      <c r="D1" s="7"/>
      <c r="E1" s="7"/>
      <c r="F1" s="7"/>
      <c r="G1" s="12"/>
      <c r="H1" s="12"/>
      <c r="I1" s="7"/>
      <c r="L1" s="26" t="s">
        <v>0</v>
      </c>
      <c r="M1" s="26" t="s">
        <v>1</v>
      </c>
      <c r="N1" s="26" t="s">
        <v>2</v>
      </c>
      <c r="O1" s="26" t="s">
        <v>3</v>
      </c>
      <c r="P1" s="26" t="s">
        <v>4</v>
      </c>
      <c r="Q1" s="26" t="s">
        <v>5</v>
      </c>
      <c r="R1" s="26" t="s">
        <v>6</v>
      </c>
      <c r="S1" s="27"/>
    </row>
    <row r="2" spans="2:19" ht="18" x14ac:dyDescent="0.35">
      <c r="B2" s="7"/>
      <c r="C2" s="7"/>
      <c r="D2" s="10" t="s">
        <v>7</v>
      </c>
      <c r="E2" s="7"/>
      <c r="F2" s="7"/>
      <c r="G2" s="12"/>
      <c r="H2" s="12"/>
      <c r="I2" s="7"/>
      <c r="J2" s="32"/>
      <c r="L2" s="28">
        <f>IF(ISBLANK(D7),"",INDEX(EID,MATCH(D5,NAME,0)))</f>
        <v>2240934</v>
      </c>
      <c r="M2" s="28" t="str">
        <f>IF(ISBLANK(D7),"",INDEX(NAME,MATCH(L2,EID,0)))</f>
        <v>Volante, Ma. Cristine</v>
      </c>
      <c r="N2" s="28" t="str">
        <f>IF(ISBLANK(D7),"",INDEX(PORTFOLIO,MATCH(L2,EID,0)))</f>
        <v>USRN Academy - NCLEX Review</v>
      </c>
      <c r="O2" s="29" t="str">
        <f>IF(ISBLANK(D7),"",D9)</f>
        <v>Remote - WFH</v>
      </c>
      <c r="P2" s="28" t="str">
        <f>IF(ISBLANK(D7),"",D7)</f>
        <v>Training Delivery (I/E)</v>
      </c>
      <c r="Q2" s="28" t="str">
        <f>IF(ISBLANK(D7),"",IF(ISBLANK(D13),"No entry",D13))</f>
        <v>Co-fasciltated InterQual Training for USRN Batch 9</v>
      </c>
      <c r="R2" s="29">
        <f>IF(ISBLANK(D7),"",D11*24)</f>
        <v>2.5</v>
      </c>
      <c r="S2" s="27"/>
    </row>
    <row r="3" spans="2:19" ht="21" customHeight="1" x14ac:dyDescent="0.4">
      <c r="B3" s="7"/>
      <c r="C3" s="7"/>
      <c r="D3" s="7"/>
      <c r="E3" s="7"/>
      <c r="F3" s="7"/>
      <c r="G3" s="13" t="s">
        <v>4</v>
      </c>
      <c r="H3" s="13" t="s">
        <v>8</v>
      </c>
      <c r="I3" s="7"/>
      <c r="J3" s="32"/>
    </row>
    <row r="4" spans="2:19" ht="21" customHeight="1" thickBot="1" x14ac:dyDescent="0.35">
      <c r="B4" s="7"/>
      <c r="C4" s="7"/>
      <c r="D4" s="7"/>
      <c r="E4" s="7"/>
      <c r="F4" s="7"/>
      <c r="G4" s="15" t="s">
        <v>9</v>
      </c>
      <c r="H4" s="21" t="s">
        <v>10</v>
      </c>
      <c r="I4" s="7"/>
      <c r="J4" s="32"/>
    </row>
    <row r="5" spans="2:19" ht="21" customHeight="1" thickBot="1" x14ac:dyDescent="0.45">
      <c r="B5" s="7"/>
      <c r="C5" s="8" t="s">
        <v>1</v>
      </c>
      <c r="D5" s="31" t="s">
        <v>52</v>
      </c>
      <c r="E5" s="7"/>
      <c r="F5" s="7"/>
      <c r="G5" s="16" t="s">
        <v>11</v>
      </c>
      <c r="H5" s="22" t="s">
        <v>12</v>
      </c>
      <c r="I5" s="7"/>
      <c r="J5" s="32"/>
    </row>
    <row r="6" spans="2:19" ht="21" customHeight="1" thickBot="1" x14ac:dyDescent="0.45">
      <c r="B6" s="7"/>
      <c r="C6" s="8"/>
      <c r="D6" s="9"/>
      <c r="E6" s="7"/>
      <c r="F6" s="7"/>
      <c r="G6" s="16" t="s">
        <v>13</v>
      </c>
      <c r="H6" s="22" t="s">
        <v>14</v>
      </c>
      <c r="I6" s="7"/>
    </row>
    <row r="7" spans="2:19" ht="21" customHeight="1" thickBot="1" x14ac:dyDescent="0.45">
      <c r="B7" s="7"/>
      <c r="C7" s="8" t="s">
        <v>4</v>
      </c>
      <c r="D7" s="11" t="s">
        <v>27</v>
      </c>
      <c r="E7" s="7"/>
      <c r="F7" s="7"/>
      <c r="G7" s="16" t="s">
        <v>15</v>
      </c>
      <c r="H7" s="22" t="s">
        <v>16</v>
      </c>
      <c r="I7" s="7"/>
      <c r="L7" t="s">
        <v>54</v>
      </c>
    </row>
    <row r="8" spans="2:19" ht="21" customHeight="1" thickBot="1" x14ac:dyDescent="0.45">
      <c r="B8" s="7"/>
      <c r="C8" s="8"/>
      <c r="D8" s="9"/>
      <c r="E8" s="7"/>
      <c r="F8" s="7"/>
      <c r="G8" s="16" t="s">
        <v>17</v>
      </c>
      <c r="H8" s="22" t="s">
        <v>18</v>
      </c>
      <c r="I8" s="7"/>
      <c r="L8" s="2" t="s">
        <v>0</v>
      </c>
      <c r="M8" s="2" t="s">
        <v>1</v>
      </c>
      <c r="N8" s="2" t="s">
        <v>2</v>
      </c>
      <c r="O8" s="2" t="s">
        <v>3</v>
      </c>
      <c r="P8" s="2" t="s">
        <v>4</v>
      </c>
      <c r="Q8" s="2" t="s">
        <v>5</v>
      </c>
      <c r="R8" s="2" t="s">
        <v>6</v>
      </c>
      <c r="S8" s="2" t="s">
        <v>55</v>
      </c>
    </row>
    <row r="9" spans="2:19" ht="21" customHeight="1" thickBot="1" x14ac:dyDescent="0.45">
      <c r="B9" s="7"/>
      <c r="C9" s="8" t="s">
        <v>3</v>
      </c>
      <c r="D9" s="11" t="s">
        <v>76</v>
      </c>
      <c r="E9" s="7"/>
      <c r="F9" s="7"/>
      <c r="G9" s="16" t="s">
        <v>20</v>
      </c>
      <c r="H9" s="22" t="s">
        <v>21</v>
      </c>
      <c r="I9" s="7"/>
      <c r="L9" s="20">
        <v>2240934</v>
      </c>
      <c r="M9" s="20" t="s">
        <v>52</v>
      </c>
      <c r="N9" s="20" t="s">
        <v>51</v>
      </c>
      <c r="O9" s="20" t="s">
        <v>76</v>
      </c>
      <c r="P9" s="20" t="s">
        <v>22</v>
      </c>
      <c r="Q9" s="20" t="s">
        <v>107</v>
      </c>
      <c r="R9" s="20">
        <v>1</v>
      </c>
      <c r="S9" s="25">
        <v>45881.611886574072</v>
      </c>
    </row>
    <row r="10" spans="2:19" ht="21" customHeight="1" thickBot="1" x14ac:dyDescent="0.45">
      <c r="B10" s="7"/>
      <c r="C10" s="8"/>
      <c r="D10" s="9"/>
      <c r="E10" s="7"/>
      <c r="F10" s="7"/>
      <c r="G10" s="16" t="s">
        <v>22</v>
      </c>
      <c r="H10" s="22" t="s">
        <v>23</v>
      </c>
      <c r="I10" s="7"/>
    </row>
    <row r="11" spans="2:19" ht="21" customHeight="1" thickBot="1" x14ac:dyDescent="0.45">
      <c r="B11" s="7"/>
      <c r="C11" s="8" t="s">
        <v>24</v>
      </c>
      <c r="D11" s="34">
        <v>0.10416666666666667</v>
      </c>
      <c r="E11" s="7"/>
      <c r="F11" s="7"/>
      <c r="G11" s="16" t="s">
        <v>25</v>
      </c>
      <c r="H11" s="22" t="s">
        <v>26</v>
      </c>
      <c r="I11" s="7"/>
    </row>
    <row r="12" spans="2:19" ht="21" customHeight="1" thickBot="1" x14ac:dyDescent="0.45">
      <c r="B12" s="7"/>
      <c r="C12" s="8"/>
      <c r="D12" s="9"/>
      <c r="E12" s="7"/>
      <c r="F12" s="7"/>
      <c r="G12" s="16" t="s">
        <v>27</v>
      </c>
      <c r="H12" s="22" t="s">
        <v>28</v>
      </c>
      <c r="I12" s="7"/>
      <c r="L12" t="s">
        <v>56</v>
      </c>
    </row>
    <row r="13" spans="2:19" ht="21" customHeight="1" x14ac:dyDescent="0.4">
      <c r="B13" s="7"/>
      <c r="C13" s="8" t="s">
        <v>29</v>
      </c>
      <c r="D13" s="38" t="s">
        <v>108</v>
      </c>
      <c r="E13" s="7"/>
      <c r="F13" s="7"/>
      <c r="G13" s="16" t="s">
        <v>30</v>
      </c>
      <c r="H13" s="22" t="s">
        <v>31</v>
      </c>
      <c r="I13" s="7"/>
      <c r="L13" s="2" t="s">
        <v>0</v>
      </c>
      <c r="M13" s="2" t="s">
        <v>1</v>
      </c>
      <c r="N13" s="2" t="s">
        <v>2</v>
      </c>
      <c r="O13" s="2" t="s">
        <v>3</v>
      </c>
      <c r="P13" s="2" t="s">
        <v>4</v>
      </c>
      <c r="Q13" s="2" t="s">
        <v>5</v>
      </c>
      <c r="R13" s="2" t="s">
        <v>6</v>
      </c>
      <c r="S13" s="2" t="s">
        <v>55</v>
      </c>
    </row>
    <row r="14" spans="2:19" ht="21" customHeight="1" x14ac:dyDescent="0.3">
      <c r="B14" s="7"/>
      <c r="C14" s="7"/>
      <c r="D14" s="39"/>
      <c r="E14" s="7"/>
      <c r="F14" s="7"/>
      <c r="G14" s="17" t="s">
        <v>32</v>
      </c>
      <c r="H14" s="23" t="s">
        <v>33</v>
      </c>
      <c r="I14" s="7"/>
      <c r="L14" s="20"/>
      <c r="M14" s="20"/>
      <c r="N14" s="20"/>
      <c r="O14" s="20"/>
      <c r="P14" s="20"/>
      <c r="Q14" s="20"/>
      <c r="R14" s="20"/>
      <c r="S14" s="24">
        <v>45873.769108796296</v>
      </c>
    </row>
    <row r="15" spans="2:19" ht="21" customHeight="1" x14ac:dyDescent="0.3">
      <c r="B15" s="7"/>
      <c r="C15" s="7"/>
      <c r="D15" s="39"/>
      <c r="E15" s="7"/>
      <c r="F15" s="7"/>
      <c r="G15" s="14" t="s">
        <v>34</v>
      </c>
      <c r="H15" s="12"/>
      <c r="I15" s="7"/>
    </row>
    <row r="16" spans="2:19" ht="21" customHeight="1" thickBot="1" x14ac:dyDescent="0.35">
      <c r="B16" s="7"/>
      <c r="C16" s="7"/>
      <c r="D16" s="40"/>
      <c r="E16" s="7"/>
      <c r="F16" s="7"/>
      <c r="G16" s="7"/>
      <c r="H16" s="7"/>
      <c r="I16" s="7"/>
      <c r="L16" t="s">
        <v>57</v>
      </c>
    </row>
    <row r="17" spans="2:19" ht="21" customHeight="1" x14ac:dyDescent="0.3">
      <c r="B17" s="7"/>
      <c r="C17" s="7"/>
      <c r="D17" s="7"/>
      <c r="E17" s="7"/>
      <c r="F17" s="7"/>
      <c r="G17" s="7"/>
      <c r="H17" s="7"/>
      <c r="I17" s="7"/>
      <c r="L17" s="2" t="s">
        <v>0</v>
      </c>
      <c r="M17" s="2" t="s">
        <v>1</v>
      </c>
      <c r="N17" s="2" t="s">
        <v>2</v>
      </c>
      <c r="O17" s="2" t="s">
        <v>3</v>
      </c>
      <c r="P17" s="2" t="s">
        <v>4</v>
      </c>
      <c r="Q17" s="2" t="s">
        <v>5</v>
      </c>
      <c r="R17" s="2" t="s">
        <v>6</v>
      </c>
      <c r="S17" s="2" t="s">
        <v>55</v>
      </c>
    </row>
    <row r="18" spans="2:19" ht="28.5" customHeight="1" x14ac:dyDescent="0.3">
      <c r="B18" s="7"/>
      <c r="C18" s="19"/>
      <c r="D18" s="7"/>
      <c r="E18" s="7"/>
      <c r="F18" s="7"/>
      <c r="G18" s="12"/>
      <c r="H18" s="12"/>
      <c r="I18" s="7"/>
      <c r="L18" s="20"/>
      <c r="M18" s="20"/>
      <c r="N18" s="20"/>
      <c r="O18" s="20"/>
      <c r="P18" s="20"/>
      <c r="Q18" s="20"/>
      <c r="R18" s="20"/>
      <c r="S18" s="24"/>
    </row>
    <row r="19" spans="2:19" x14ac:dyDescent="0.3">
      <c r="B19" s="7"/>
      <c r="C19" s="7"/>
      <c r="D19" s="7"/>
      <c r="E19" s="7"/>
      <c r="F19" s="7"/>
      <c r="G19" s="12"/>
      <c r="H19" s="12"/>
      <c r="I19" s="7"/>
    </row>
    <row r="20" spans="2:19" x14ac:dyDescent="0.3">
      <c r="B20" s="7"/>
      <c r="C20" s="7"/>
      <c r="D20" s="7"/>
      <c r="E20" s="7"/>
      <c r="F20" s="7"/>
      <c r="G20" s="12"/>
      <c r="H20" s="12"/>
      <c r="I20" s="7"/>
    </row>
    <row r="21" spans="2:19" x14ac:dyDescent="0.3">
      <c r="B21" s="7"/>
      <c r="C21" s="7"/>
      <c r="D21" s="7"/>
      <c r="E21" s="7"/>
      <c r="F21" s="7"/>
      <c r="G21" s="12"/>
      <c r="H21" s="12"/>
      <c r="I21" s="7"/>
    </row>
    <row r="22" spans="2:19" x14ac:dyDescent="0.3">
      <c r="B22" s="7"/>
      <c r="C22" s="33"/>
      <c r="D22" s="7"/>
      <c r="E22" s="7"/>
      <c r="F22" s="7"/>
      <c r="G22" s="7"/>
      <c r="H22" s="7"/>
      <c r="I22" s="7"/>
    </row>
    <row r="23" spans="2:19" x14ac:dyDescent="0.3">
      <c r="B23" s="7"/>
      <c r="C23" s="7"/>
      <c r="D23" s="7"/>
      <c r="E23" s="7"/>
      <c r="F23" s="7"/>
      <c r="G23" s="7"/>
      <c r="H23" s="7"/>
      <c r="I23" s="7"/>
    </row>
    <row r="24" spans="2:19" x14ac:dyDescent="0.3">
      <c r="B24" s="18" t="s">
        <v>53</v>
      </c>
      <c r="C24" s="7"/>
      <c r="D24" s="7"/>
      <c r="E24" s="7"/>
      <c r="F24" s="7"/>
      <c r="G24" s="7"/>
      <c r="H24" s="7"/>
      <c r="I24" s="7"/>
    </row>
    <row r="27" spans="2:19" hidden="1" x14ac:dyDescent="0.3">
      <c r="B27" s="6"/>
    </row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</sheetData>
  <sheetProtection algorithmName="SHA-512" hashValue="ShiAhsrAxWRAvrXDrObfxLmGUCUfN0zDKeQulSV9WnL+uaEnYLuYGIZYXPFuyjIzk8+NAogylmUt6MMrrWD8gg==" saltValue="d3TmWGB7sEv80rhE8FIlPg==" spinCount="100000" sheet="1" objects="1" scenarios="1"/>
  <mergeCells count="1">
    <mergeCell ref="D13:D16"/>
  </mergeCells>
  <dataValidations xWindow="542" yWindow="489" count="3">
    <dataValidation type="list" allowBlank="1" showInputMessage="1" showErrorMessage="1" sqref="D7" xr:uid="{3E22414C-3B3B-43EE-95DF-DD229C734087}">
      <formula1>ACTIVITY</formula1>
    </dataValidation>
    <dataValidation type="list" allowBlank="1" showInputMessage="1" showErrorMessage="1" sqref="D9" xr:uid="{B055565E-7754-49D0-B4E5-64D31EC0BD73}">
      <formula1>LOCATION</formula1>
    </dataValidation>
    <dataValidation type="time" allowBlank="1" showInputMessage="1" showErrorMessage="1" error="Please use the Button to enter Time spent" sqref="D11" xr:uid="{1A646486-7EFC-4EF9-9E1B-3074EFC4EFF6}">
      <formula1>0</formula1>
      <formula2>0.999305555555556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DumpLogToDestination">
                <anchor moveWithCells="1" sizeWithCells="1">
                  <from>
                    <xdr:col>3</xdr:col>
                    <xdr:colOff>685800</xdr:colOff>
                    <xdr:row>16</xdr:row>
                    <xdr:rowOff>137160</xdr:rowOff>
                  </from>
                  <to>
                    <xdr:col>3</xdr:col>
                    <xdr:colOff>2087880</xdr:colOff>
                    <xdr:row>17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ChangeRequest">
                <anchor moveWithCells="1" sizeWithCells="1">
                  <from>
                    <xdr:col>3</xdr:col>
                    <xdr:colOff>670560</xdr:colOff>
                    <xdr:row>17</xdr:row>
                    <xdr:rowOff>274320</xdr:rowOff>
                  </from>
                  <to>
                    <xdr:col>3</xdr:col>
                    <xdr:colOff>2080260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Button 15">
              <controlPr defaultSize="0" print="0" autoFill="0" autoPict="0" macro="[0]!DeletionRequest">
                <anchor moveWithCells="1" sizeWithCells="1">
                  <from>
                    <xdr:col>3</xdr:col>
                    <xdr:colOff>670560</xdr:colOff>
                    <xdr:row>19</xdr:row>
                    <xdr:rowOff>137160</xdr:rowOff>
                  </from>
                  <to>
                    <xdr:col>3</xdr:col>
                    <xdr:colOff>2080260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Button 18">
              <controlPr defaultSize="0" print="0" autoFill="0" autoPict="0" macro="[0]!ShowTimeEntryForm">
                <anchor moveWithCells="1" sizeWithCells="1">
                  <from>
                    <xdr:col>4</xdr:col>
                    <xdr:colOff>45720</xdr:colOff>
                    <xdr:row>9</xdr:row>
                    <xdr:rowOff>236220</xdr:rowOff>
                  </from>
                  <to>
                    <xdr:col>5</xdr:col>
                    <xdr:colOff>198120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57BB1-7A1C-4571-9B8A-517BD91B4D35}">
  <sheetPr codeName="Sheet2"/>
  <dimension ref="A1:I31"/>
  <sheetViews>
    <sheetView showGridLines="0" tabSelected="1" workbookViewId="0">
      <selection activeCell="F4" sqref="F4"/>
    </sheetView>
  </sheetViews>
  <sheetFormatPr defaultColWidth="0" defaultRowHeight="14.4" x14ac:dyDescent="0.3"/>
  <cols>
    <col min="1" max="1" width="9.109375" customWidth="1"/>
    <col min="2" max="2" width="19.88671875" bestFit="1" customWidth="1"/>
    <col min="3" max="3" width="27.109375" bestFit="1" customWidth="1"/>
    <col min="4" max="4" width="14.109375" customWidth="1"/>
    <col min="5" max="5" width="20" customWidth="1"/>
    <col min="6" max="6" width="53.44140625" customWidth="1"/>
    <col min="7" max="7" width="19.109375" customWidth="1"/>
    <col min="8" max="8" width="20.6640625" style="36" customWidth="1"/>
    <col min="9" max="9" width="11" customWidth="1"/>
    <col min="10" max="16384" width="9.109375" hidden="1"/>
  </cols>
  <sheetData>
    <row r="1" spans="1:9" s="4" customFormat="1" x14ac:dyDescent="0.3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59</v>
      </c>
      <c r="H1" s="35" t="s">
        <v>60</v>
      </c>
      <c r="I1" s="30" t="s">
        <v>35</v>
      </c>
    </row>
    <row r="2" spans="1:9" s="4" customFormat="1" x14ac:dyDescent="0.3">
      <c r="A2" s="30">
        <v>2240934</v>
      </c>
      <c r="B2" s="30" t="s">
        <v>52</v>
      </c>
      <c r="C2" s="30" t="s">
        <v>51</v>
      </c>
      <c r="D2" s="30" t="s">
        <v>76</v>
      </c>
      <c r="E2" s="30" t="s">
        <v>22</v>
      </c>
      <c r="F2" s="30" t="s">
        <v>107</v>
      </c>
      <c r="G2" s="30">
        <v>1</v>
      </c>
      <c r="H2" s="35">
        <v>45881.611863425926</v>
      </c>
      <c r="I2" s="30" t="str">
        <f t="shared" ref="I2:I8" si="0">TEXT(H2,"mmmm")</f>
        <v>August</v>
      </c>
    </row>
    <row r="3" spans="1:9" s="4" customFormat="1" x14ac:dyDescent="0.3">
      <c r="A3" s="30">
        <v>2240934</v>
      </c>
      <c r="B3" s="30" t="s">
        <v>52</v>
      </c>
      <c r="C3" s="30" t="s">
        <v>51</v>
      </c>
      <c r="D3" s="30" t="s">
        <v>76</v>
      </c>
      <c r="E3" s="30" t="s">
        <v>22</v>
      </c>
      <c r="F3" s="30" t="s">
        <v>106</v>
      </c>
      <c r="G3" s="30">
        <v>1</v>
      </c>
      <c r="H3" s="35">
        <v>45880.920324074075</v>
      </c>
      <c r="I3" s="30" t="str">
        <f t="shared" si="0"/>
        <v>August</v>
      </c>
    </row>
    <row r="4" spans="1:9" s="4" customFormat="1" x14ac:dyDescent="0.3">
      <c r="A4" s="30">
        <v>2240934</v>
      </c>
      <c r="B4" s="30" t="s">
        <v>52</v>
      </c>
      <c r="C4" s="30" t="s">
        <v>51</v>
      </c>
      <c r="D4" s="30" t="s">
        <v>76</v>
      </c>
      <c r="E4" s="30" t="s">
        <v>15</v>
      </c>
      <c r="F4" s="30" t="s">
        <v>105</v>
      </c>
      <c r="G4" s="30">
        <v>1</v>
      </c>
      <c r="H4" s="35">
        <v>45880.904594907406</v>
      </c>
      <c r="I4" s="30" t="str">
        <f t="shared" si="0"/>
        <v>August</v>
      </c>
    </row>
    <row r="5" spans="1:9" s="4" customFormat="1" x14ac:dyDescent="0.3">
      <c r="A5" s="30">
        <v>2240934</v>
      </c>
      <c r="B5" s="30" t="s">
        <v>52</v>
      </c>
      <c r="C5" s="30" t="s">
        <v>51</v>
      </c>
      <c r="D5" s="30" t="s">
        <v>76</v>
      </c>
      <c r="E5" s="30" t="s">
        <v>27</v>
      </c>
      <c r="F5" s="30" t="s">
        <v>104</v>
      </c>
      <c r="G5" s="30">
        <v>4.5</v>
      </c>
      <c r="H5" s="35">
        <v>45880.846400462964</v>
      </c>
      <c r="I5" s="30" t="str">
        <f t="shared" si="0"/>
        <v>August</v>
      </c>
    </row>
    <row r="6" spans="1:9" s="4" customFormat="1" x14ac:dyDescent="0.3">
      <c r="A6" s="30">
        <v>2240934</v>
      </c>
      <c r="B6" s="30" t="s">
        <v>52</v>
      </c>
      <c r="C6" s="30" t="s">
        <v>51</v>
      </c>
      <c r="D6" s="30" t="s">
        <v>76</v>
      </c>
      <c r="E6" s="30" t="s">
        <v>9</v>
      </c>
      <c r="F6" s="30" t="s">
        <v>103</v>
      </c>
      <c r="G6" s="30">
        <v>1</v>
      </c>
      <c r="H6" s="35">
        <v>45880.571851851855</v>
      </c>
      <c r="I6" s="30" t="str">
        <f t="shared" si="0"/>
        <v>August</v>
      </c>
    </row>
    <row r="7" spans="1:9" s="4" customFormat="1" x14ac:dyDescent="0.3">
      <c r="A7" s="30">
        <v>2240934</v>
      </c>
      <c r="B7" s="30" t="s">
        <v>52</v>
      </c>
      <c r="C7" s="30" t="s">
        <v>51</v>
      </c>
      <c r="D7" s="30" t="s">
        <v>76</v>
      </c>
      <c r="E7" s="30" t="s">
        <v>11</v>
      </c>
      <c r="F7" s="30" t="s">
        <v>102</v>
      </c>
      <c r="G7" s="30">
        <v>2</v>
      </c>
      <c r="H7" s="35">
        <v>45877.915162037039</v>
      </c>
      <c r="I7" s="30" t="str">
        <f t="shared" si="0"/>
        <v>August</v>
      </c>
    </row>
    <row r="8" spans="1:9" s="4" customFormat="1" x14ac:dyDescent="0.3">
      <c r="A8" s="30">
        <v>2240934</v>
      </c>
      <c r="B8" s="30" t="s">
        <v>52</v>
      </c>
      <c r="C8" s="30" t="s">
        <v>51</v>
      </c>
      <c r="D8" s="30" t="s">
        <v>76</v>
      </c>
      <c r="E8" s="30" t="s">
        <v>13</v>
      </c>
      <c r="F8" s="30" t="s">
        <v>101</v>
      </c>
      <c r="G8" s="30">
        <v>4.5</v>
      </c>
      <c r="H8" s="35">
        <v>45877.834039351852</v>
      </c>
      <c r="I8" s="30" t="str">
        <f t="shared" si="0"/>
        <v>August</v>
      </c>
    </row>
    <row r="9" spans="1:9" s="4" customFormat="1" x14ac:dyDescent="0.3">
      <c r="A9" s="30">
        <v>2240934</v>
      </c>
      <c r="B9" s="30" t="s">
        <v>52</v>
      </c>
      <c r="C9" s="30" t="s">
        <v>51</v>
      </c>
      <c r="D9" s="30" t="s">
        <v>76</v>
      </c>
      <c r="E9" s="30" t="s">
        <v>9</v>
      </c>
      <c r="F9" s="30" t="s">
        <v>100</v>
      </c>
      <c r="G9" s="30">
        <v>1</v>
      </c>
      <c r="H9" s="35">
        <v>45877.582465277781</v>
      </c>
      <c r="I9" s="30" t="str">
        <f t="shared" ref="I9:I15" si="1">TEXT(H9,"mmmm")</f>
        <v>August</v>
      </c>
    </row>
    <row r="10" spans="1:9" s="4" customFormat="1" x14ac:dyDescent="0.3">
      <c r="A10" s="30">
        <v>2240934</v>
      </c>
      <c r="B10" s="30" t="s">
        <v>52</v>
      </c>
      <c r="C10" s="30" t="s">
        <v>51</v>
      </c>
      <c r="D10" s="30" t="s">
        <v>76</v>
      </c>
      <c r="E10" s="30" t="s">
        <v>15</v>
      </c>
      <c r="F10" s="30" t="s">
        <v>99</v>
      </c>
      <c r="G10" s="30">
        <v>0.5</v>
      </c>
      <c r="H10" s="35">
        <v>45876.921539351853</v>
      </c>
      <c r="I10" s="30" t="str">
        <f t="shared" si="1"/>
        <v>August</v>
      </c>
    </row>
    <row r="11" spans="1:9" s="4" customFormat="1" x14ac:dyDescent="0.3">
      <c r="A11" s="30">
        <v>2240934</v>
      </c>
      <c r="B11" s="30" t="s">
        <v>52</v>
      </c>
      <c r="C11" s="30" t="s">
        <v>51</v>
      </c>
      <c r="D11" s="30" t="s">
        <v>76</v>
      </c>
      <c r="E11" s="30" t="s">
        <v>22</v>
      </c>
      <c r="F11" s="30" t="s">
        <v>98</v>
      </c>
      <c r="G11" s="30">
        <v>1.5</v>
      </c>
      <c r="H11" s="35">
        <v>45876.920416666668</v>
      </c>
      <c r="I11" s="30" t="str">
        <f t="shared" si="1"/>
        <v>August</v>
      </c>
    </row>
    <row r="12" spans="1:9" s="4" customFormat="1" x14ac:dyDescent="0.3">
      <c r="A12" s="30">
        <v>2240934</v>
      </c>
      <c r="B12" s="30" t="s">
        <v>52</v>
      </c>
      <c r="C12" s="30" t="s">
        <v>51</v>
      </c>
      <c r="D12" s="30" t="s">
        <v>76</v>
      </c>
      <c r="E12" s="30" t="s">
        <v>27</v>
      </c>
      <c r="F12" s="30" t="s">
        <v>97</v>
      </c>
      <c r="G12" s="30">
        <v>4.5</v>
      </c>
      <c r="H12" s="35">
        <v>45876.855104166665</v>
      </c>
      <c r="I12" s="30" t="str">
        <f t="shared" si="1"/>
        <v>August</v>
      </c>
    </row>
    <row r="13" spans="1:9" s="4" customFormat="1" x14ac:dyDescent="0.3">
      <c r="A13" s="30">
        <v>2240934</v>
      </c>
      <c r="B13" s="30" t="s">
        <v>52</v>
      </c>
      <c r="C13" s="30" t="s">
        <v>51</v>
      </c>
      <c r="D13" s="30" t="s">
        <v>76</v>
      </c>
      <c r="E13" s="30" t="s">
        <v>11</v>
      </c>
      <c r="F13" s="30" t="s">
        <v>96</v>
      </c>
      <c r="G13" s="30">
        <v>1</v>
      </c>
      <c r="H13" s="35">
        <v>45876.557118055556</v>
      </c>
      <c r="I13" s="30" t="str">
        <f t="shared" si="1"/>
        <v>August</v>
      </c>
    </row>
    <row r="14" spans="1:9" s="4" customFormat="1" x14ac:dyDescent="0.3">
      <c r="A14" s="30">
        <v>2240934</v>
      </c>
      <c r="B14" s="30" t="s">
        <v>52</v>
      </c>
      <c r="C14" s="30" t="s">
        <v>51</v>
      </c>
      <c r="D14" s="30" t="s">
        <v>76</v>
      </c>
      <c r="E14" s="30" t="s">
        <v>13</v>
      </c>
      <c r="F14" s="30" t="s">
        <v>95</v>
      </c>
      <c r="G14" s="30">
        <v>2</v>
      </c>
      <c r="H14" s="35">
        <v>45875.91747685185</v>
      </c>
      <c r="I14" s="30" t="str">
        <f t="shared" si="1"/>
        <v>August</v>
      </c>
    </row>
    <row r="15" spans="1:9" s="4" customFormat="1" x14ac:dyDescent="0.3">
      <c r="A15" s="30">
        <v>2240934</v>
      </c>
      <c r="B15" s="30" t="s">
        <v>52</v>
      </c>
      <c r="C15" s="30" t="s">
        <v>51</v>
      </c>
      <c r="D15" s="30" t="s">
        <v>76</v>
      </c>
      <c r="E15" s="30" t="s">
        <v>27</v>
      </c>
      <c r="F15" s="30" t="s">
        <v>94</v>
      </c>
      <c r="G15" s="30">
        <v>4.5</v>
      </c>
      <c r="H15" s="35">
        <v>45875.916932870372</v>
      </c>
      <c r="I15" s="30" t="str">
        <f t="shared" si="1"/>
        <v>August</v>
      </c>
    </row>
    <row r="16" spans="1:9" s="4" customFormat="1" x14ac:dyDescent="0.3">
      <c r="A16" s="30">
        <v>2240934</v>
      </c>
      <c r="B16" s="30" t="s">
        <v>52</v>
      </c>
      <c r="C16" s="30" t="s">
        <v>51</v>
      </c>
      <c r="D16" s="30" t="s">
        <v>76</v>
      </c>
      <c r="E16" s="30" t="s">
        <v>15</v>
      </c>
      <c r="F16" s="30" t="s">
        <v>93</v>
      </c>
      <c r="G16" s="30">
        <v>1</v>
      </c>
      <c r="H16" s="35">
        <v>45875.570729166669</v>
      </c>
      <c r="I16" s="30" t="str">
        <f t="shared" ref="I16:I25" si="2">TEXT(H16,"mmmm")</f>
        <v>August</v>
      </c>
    </row>
    <row r="17" spans="1:9" s="4" customFormat="1" x14ac:dyDescent="0.3">
      <c r="A17" s="30">
        <v>2240934</v>
      </c>
      <c r="B17" s="30" t="s">
        <v>52</v>
      </c>
      <c r="C17" s="30" t="s">
        <v>51</v>
      </c>
      <c r="D17" s="30" t="s">
        <v>76</v>
      </c>
      <c r="E17" s="30" t="s">
        <v>32</v>
      </c>
      <c r="F17" s="30" t="s">
        <v>92</v>
      </c>
      <c r="G17" s="30">
        <v>1</v>
      </c>
      <c r="H17" s="35">
        <v>45874.879814814813</v>
      </c>
      <c r="I17" s="30" t="str">
        <f t="shared" si="2"/>
        <v>August</v>
      </c>
    </row>
    <row r="18" spans="1:9" s="4" customFormat="1" x14ac:dyDescent="0.3">
      <c r="A18" s="30">
        <v>2240934</v>
      </c>
      <c r="B18" s="30" t="s">
        <v>52</v>
      </c>
      <c r="C18" s="30" t="s">
        <v>51</v>
      </c>
      <c r="D18" s="30" t="s">
        <v>76</v>
      </c>
      <c r="E18" s="30" t="s">
        <v>30</v>
      </c>
      <c r="F18" s="30" t="s">
        <v>91</v>
      </c>
      <c r="G18" s="30">
        <v>1.5</v>
      </c>
      <c r="H18" s="35">
        <v>45874.879201388889</v>
      </c>
      <c r="I18" s="30" t="str">
        <f t="shared" si="2"/>
        <v>August</v>
      </c>
    </row>
    <row r="19" spans="1:9" s="4" customFormat="1" x14ac:dyDescent="0.3">
      <c r="A19" s="30">
        <v>2240934</v>
      </c>
      <c r="B19" s="30" t="s">
        <v>52</v>
      </c>
      <c r="C19" s="30" t="s">
        <v>51</v>
      </c>
      <c r="D19" s="30" t="s">
        <v>76</v>
      </c>
      <c r="E19" s="30" t="s">
        <v>13</v>
      </c>
      <c r="F19" s="30" t="s">
        <v>90</v>
      </c>
      <c r="G19" s="30">
        <v>1</v>
      </c>
      <c r="H19" s="35">
        <v>45874.784074074072</v>
      </c>
      <c r="I19" s="30" t="str">
        <f t="shared" si="2"/>
        <v>August</v>
      </c>
    </row>
    <row r="20" spans="1:9" s="4" customFormat="1" x14ac:dyDescent="0.3">
      <c r="A20" s="30">
        <v>2240934</v>
      </c>
      <c r="B20" s="30" t="s">
        <v>52</v>
      </c>
      <c r="C20" s="30" t="s">
        <v>51</v>
      </c>
      <c r="D20" s="30" t="s">
        <v>76</v>
      </c>
      <c r="E20" s="30" t="s">
        <v>11</v>
      </c>
      <c r="F20" s="30" t="s">
        <v>89</v>
      </c>
      <c r="G20" s="30">
        <v>2</v>
      </c>
      <c r="H20" s="35">
        <v>45874.763391203705</v>
      </c>
      <c r="I20" s="30" t="str">
        <f t="shared" si="2"/>
        <v>August</v>
      </c>
    </row>
    <row r="21" spans="1:9" s="4" customFormat="1" x14ac:dyDescent="0.3">
      <c r="A21" s="30">
        <v>2240934</v>
      </c>
      <c r="B21" s="30" t="s">
        <v>52</v>
      </c>
      <c r="C21" s="30" t="s">
        <v>51</v>
      </c>
      <c r="D21" s="30" t="s">
        <v>76</v>
      </c>
      <c r="E21" s="30" t="s">
        <v>9</v>
      </c>
      <c r="F21" s="30" t="s">
        <v>88</v>
      </c>
      <c r="G21" s="30">
        <v>2</v>
      </c>
      <c r="H21" s="35">
        <v>45874.623692129629</v>
      </c>
      <c r="I21" s="30" t="str">
        <f t="shared" si="2"/>
        <v>August</v>
      </c>
    </row>
    <row r="22" spans="1:9" s="4" customFormat="1" x14ac:dyDescent="0.3">
      <c r="A22" s="30">
        <v>2240934</v>
      </c>
      <c r="B22" s="30" t="s">
        <v>52</v>
      </c>
      <c r="C22" s="30" t="s">
        <v>51</v>
      </c>
      <c r="D22" s="30" t="s">
        <v>76</v>
      </c>
      <c r="E22" s="30" t="s">
        <v>9</v>
      </c>
      <c r="F22" s="30" t="s">
        <v>87</v>
      </c>
      <c r="G22" s="30">
        <v>1.5</v>
      </c>
      <c r="H22" s="35">
        <v>45873.97347222222</v>
      </c>
      <c r="I22" s="30" t="str">
        <f t="shared" si="2"/>
        <v>August</v>
      </c>
    </row>
    <row r="23" spans="1:9" s="4" customFormat="1" x14ac:dyDescent="0.3">
      <c r="A23" s="30">
        <v>2240934</v>
      </c>
      <c r="B23" s="30" t="s">
        <v>52</v>
      </c>
      <c r="C23" s="30" t="s">
        <v>51</v>
      </c>
      <c r="D23" s="30" t="s">
        <v>76</v>
      </c>
      <c r="E23" s="30" t="s">
        <v>17</v>
      </c>
      <c r="F23" s="30" t="s">
        <v>86</v>
      </c>
      <c r="G23" s="30">
        <v>1</v>
      </c>
      <c r="H23" s="35">
        <v>45873.972002314818</v>
      </c>
      <c r="I23" s="30" t="str">
        <f t="shared" si="2"/>
        <v>August</v>
      </c>
    </row>
    <row r="24" spans="1:9" s="4" customFormat="1" x14ac:dyDescent="0.3">
      <c r="A24" s="30">
        <v>2240934</v>
      </c>
      <c r="B24" s="30" t="s">
        <v>52</v>
      </c>
      <c r="C24" s="30" t="s">
        <v>51</v>
      </c>
      <c r="D24" s="30" t="s">
        <v>76</v>
      </c>
      <c r="E24" s="30" t="s">
        <v>13</v>
      </c>
      <c r="F24" s="30" t="s">
        <v>85</v>
      </c>
      <c r="G24" s="30">
        <v>1</v>
      </c>
      <c r="H24" s="35">
        <v>45873.903275462966</v>
      </c>
      <c r="I24" s="30" t="str">
        <f t="shared" si="2"/>
        <v>August</v>
      </c>
    </row>
    <row r="25" spans="1:9" s="4" customFormat="1" x14ac:dyDescent="0.3">
      <c r="A25" s="30">
        <v>2240934</v>
      </c>
      <c r="B25" s="30" t="s">
        <v>52</v>
      </c>
      <c r="C25" s="30" t="s">
        <v>51</v>
      </c>
      <c r="D25" s="30" t="s">
        <v>76</v>
      </c>
      <c r="E25" s="30" t="s">
        <v>30</v>
      </c>
      <c r="F25" s="30" t="s">
        <v>84</v>
      </c>
      <c r="G25" s="30">
        <v>2</v>
      </c>
      <c r="H25" s="35">
        <v>45873.788032407407</v>
      </c>
      <c r="I25" s="30" t="str">
        <f t="shared" si="2"/>
        <v>August</v>
      </c>
    </row>
    <row r="26" spans="1:9" s="4" customFormat="1" x14ac:dyDescent="0.3">
      <c r="A26" s="30">
        <v>2240934</v>
      </c>
      <c r="B26" s="30" t="s">
        <v>52</v>
      </c>
      <c r="C26" s="30" t="s">
        <v>51</v>
      </c>
      <c r="D26" s="30" t="s">
        <v>19</v>
      </c>
      <c r="E26" s="30" t="s">
        <v>15</v>
      </c>
      <c r="F26" s="30" t="s">
        <v>78</v>
      </c>
      <c r="G26" s="30">
        <v>1</v>
      </c>
      <c r="H26" s="35">
        <v>45873.686944444446</v>
      </c>
      <c r="I26" s="30" t="str">
        <f t="shared" ref="I26:I31" si="3">TEXT(H26,"mmmm")</f>
        <v>August</v>
      </c>
    </row>
    <row r="27" spans="1:9" s="4" customFormat="1" x14ac:dyDescent="0.3">
      <c r="A27" s="30">
        <v>2240934</v>
      </c>
      <c r="B27" s="30" t="s">
        <v>52</v>
      </c>
      <c r="C27" s="30" t="s">
        <v>51</v>
      </c>
      <c r="D27" s="30" t="s">
        <v>19</v>
      </c>
      <c r="E27" s="30" t="s">
        <v>9</v>
      </c>
      <c r="F27" s="30" t="s">
        <v>79</v>
      </c>
      <c r="G27" s="30">
        <v>1</v>
      </c>
      <c r="H27" s="35">
        <v>45873.643854166665</v>
      </c>
      <c r="I27" s="30" t="str">
        <f t="shared" si="3"/>
        <v>August</v>
      </c>
    </row>
    <row r="28" spans="1:9" s="4" customFormat="1" x14ac:dyDescent="0.3">
      <c r="A28" s="30">
        <v>2240934</v>
      </c>
      <c r="B28" s="30" t="s">
        <v>52</v>
      </c>
      <c r="C28" s="30" t="s">
        <v>51</v>
      </c>
      <c r="D28" s="30" t="s">
        <v>76</v>
      </c>
      <c r="E28" s="30" t="s">
        <v>32</v>
      </c>
      <c r="F28" s="30" t="s">
        <v>83</v>
      </c>
      <c r="G28" s="30">
        <v>2</v>
      </c>
      <c r="H28" s="35">
        <v>45870.937650462962</v>
      </c>
      <c r="I28" s="30" t="str">
        <f>TEXT(H28,"mmmm")</f>
        <v>August</v>
      </c>
    </row>
    <row r="29" spans="1:9" s="4" customFormat="1" x14ac:dyDescent="0.3">
      <c r="A29" s="30">
        <v>2240934</v>
      </c>
      <c r="B29" s="30" t="s">
        <v>52</v>
      </c>
      <c r="C29" s="30" t="s">
        <v>51</v>
      </c>
      <c r="D29" s="30" t="s">
        <v>19</v>
      </c>
      <c r="E29" s="30" t="s">
        <v>22</v>
      </c>
      <c r="F29" s="30" t="s">
        <v>80</v>
      </c>
      <c r="G29" s="30">
        <v>2</v>
      </c>
      <c r="H29" s="35">
        <v>45870.898240740738</v>
      </c>
      <c r="I29" s="30" t="str">
        <f t="shared" si="3"/>
        <v>August</v>
      </c>
    </row>
    <row r="30" spans="1:9" s="4" customFormat="1" x14ac:dyDescent="0.3">
      <c r="A30" s="30">
        <v>2240934</v>
      </c>
      <c r="B30" s="30" t="s">
        <v>52</v>
      </c>
      <c r="C30" s="30" t="s">
        <v>51</v>
      </c>
      <c r="D30" s="30" t="s">
        <v>19</v>
      </c>
      <c r="E30" s="30" t="s">
        <v>30</v>
      </c>
      <c r="F30" s="30" t="s">
        <v>81</v>
      </c>
      <c r="G30" s="30">
        <v>2.5</v>
      </c>
      <c r="H30" s="35">
        <v>45870.815370370372</v>
      </c>
      <c r="I30" s="30" t="str">
        <f t="shared" si="3"/>
        <v>August</v>
      </c>
    </row>
    <row r="31" spans="1:9" s="4" customFormat="1" x14ac:dyDescent="0.3">
      <c r="A31" s="30">
        <v>2240934</v>
      </c>
      <c r="B31" s="30" t="s">
        <v>52</v>
      </c>
      <c r="C31" s="30" t="s">
        <v>51</v>
      </c>
      <c r="D31" s="30" t="s">
        <v>19</v>
      </c>
      <c r="E31" s="30" t="s">
        <v>9</v>
      </c>
      <c r="F31" s="30" t="s">
        <v>82</v>
      </c>
      <c r="G31" s="30">
        <v>1</v>
      </c>
      <c r="H31" s="35">
        <v>45870.676168981481</v>
      </c>
      <c r="I31" s="30" t="str">
        <f t="shared" si="3"/>
        <v>August</v>
      </c>
    </row>
  </sheetData>
  <sheetProtection algorithmName="SHA-512" hashValue="vJeocRoFbDa1qCc+3g9b/+BYF0Q+pYWJ1Pn9znamstGGKkXJoK7/Z/3AJAKiTGOy8iRdpq0iq1QtJxeOnCDWxQ==" saltValue="e80K0e1iyi6NuHqfDDJlg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82EDF-3364-4593-A36C-E3A530D20527}">
  <sheetPr codeName="Sheet3"/>
  <dimension ref="A1:F19"/>
  <sheetViews>
    <sheetView showGridLines="0" zoomScaleNormal="100" workbookViewId="0">
      <selection activeCell="B19" sqref="B19"/>
    </sheetView>
  </sheetViews>
  <sheetFormatPr defaultRowHeight="14.4" x14ac:dyDescent="0.3"/>
  <cols>
    <col min="2" max="2" width="33.5546875" bestFit="1" customWidth="1"/>
    <col min="3" max="3" width="44" bestFit="1" customWidth="1"/>
    <col min="4" max="4" width="29.44140625" bestFit="1" customWidth="1"/>
    <col min="5" max="5" width="81.33203125" customWidth="1"/>
    <col min="6" max="6" width="14.44140625" bestFit="1" customWidth="1"/>
    <col min="7" max="7" width="24.5546875" bestFit="1" customWidth="1"/>
    <col min="8" max="8" width="11.6640625" bestFit="1" customWidth="1"/>
  </cols>
  <sheetData>
    <row r="1" spans="1:6" x14ac:dyDescent="0.3">
      <c r="A1" s="3" t="s">
        <v>0</v>
      </c>
      <c r="B1" s="3" t="s">
        <v>1</v>
      </c>
      <c r="C1" s="3" t="s">
        <v>2</v>
      </c>
      <c r="D1" s="3" t="s">
        <v>48</v>
      </c>
      <c r="E1" s="3" t="s">
        <v>49</v>
      </c>
      <c r="F1" s="3" t="s">
        <v>3</v>
      </c>
    </row>
    <row r="2" spans="1:6" x14ac:dyDescent="0.3">
      <c r="A2" s="1">
        <v>240220</v>
      </c>
      <c r="B2" s="1" t="s">
        <v>61</v>
      </c>
      <c r="C2" s="1" t="s">
        <v>38</v>
      </c>
      <c r="D2" s="1" t="s">
        <v>9</v>
      </c>
      <c r="E2" s="1" t="s">
        <v>10</v>
      </c>
      <c r="F2" s="1" t="s">
        <v>76</v>
      </c>
    </row>
    <row r="3" spans="1:6" x14ac:dyDescent="0.3">
      <c r="A3" s="1">
        <v>328412</v>
      </c>
      <c r="B3" s="1" t="s">
        <v>62</v>
      </c>
      <c r="C3" s="1" t="s">
        <v>40</v>
      </c>
      <c r="D3" s="5" t="s">
        <v>11</v>
      </c>
      <c r="E3" s="1" t="s">
        <v>12</v>
      </c>
      <c r="F3" s="1" t="s">
        <v>77</v>
      </c>
    </row>
    <row r="4" spans="1:6" x14ac:dyDescent="0.3">
      <c r="A4" s="1">
        <v>355973</v>
      </c>
      <c r="B4" s="1" t="s">
        <v>45</v>
      </c>
      <c r="C4" s="1" t="s">
        <v>38</v>
      </c>
      <c r="D4" s="1" t="s">
        <v>32</v>
      </c>
      <c r="E4" s="1" t="s">
        <v>33</v>
      </c>
      <c r="F4" s="1" t="s">
        <v>41</v>
      </c>
    </row>
    <row r="5" spans="1:6" x14ac:dyDescent="0.3">
      <c r="A5" s="1">
        <v>423094</v>
      </c>
      <c r="B5" s="1" t="s">
        <v>42</v>
      </c>
      <c r="C5" s="1" t="s">
        <v>43</v>
      </c>
      <c r="D5" s="1" t="s">
        <v>13</v>
      </c>
      <c r="E5" s="1" t="s">
        <v>14</v>
      </c>
      <c r="F5" s="1" t="s">
        <v>46</v>
      </c>
    </row>
    <row r="6" spans="1:6" x14ac:dyDescent="0.3">
      <c r="A6" s="1">
        <v>456105</v>
      </c>
      <c r="B6" s="1" t="s">
        <v>63</v>
      </c>
      <c r="C6" s="1" t="s">
        <v>51</v>
      </c>
      <c r="D6" s="5" t="s">
        <v>15</v>
      </c>
      <c r="E6" s="1" t="s">
        <v>16</v>
      </c>
      <c r="F6" s="1" t="s">
        <v>58</v>
      </c>
    </row>
    <row r="7" spans="1:6" x14ac:dyDescent="0.3">
      <c r="A7" s="1">
        <v>482843</v>
      </c>
      <c r="B7" s="1" t="s">
        <v>64</v>
      </c>
      <c r="C7" s="1" t="s">
        <v>44</v>
      </c>
      <c r="D7" s="1" t="s">
        <v>17</v>
      </c>
      <c r="E7" s="1" t="s">
        <v>18</v>
      </c>
      <c r="F7" s="1" t="s">
        <v>50</v>
      </c>
    </row>
    <row r="8" spans="1:6" x14ac:dyDescent="0.3">
      <c r="A8" s="1">
        <v>587286</v>
      </c>
      <c r="B8" s="1" t="s">
        <v>65</v>
      </c>
      <c r="C8" s="1" t="s">
        <v>44</v>
      </c>
      <c r="D8" s="1" t="s">
        <v>20</v>
      </c>
      <c r="E8" s="1" t="s">
        <v>21</v>
      </c>
      <c r="F8" s="1" t="s">
        <v>39</v>
      </c>
    </row>
    <row r="9" spans="1:6" x14ac:dyDescent="0.3">
      <c r="A9" s="1">
        <v>664809</v>
      </c>
      <c r="B9" s="1" t="s">
        <v>36</v>
      </c>
      <c r="C9" s="1" t="s">
        <v>37</v>
      </c>
      <c r="D9" s="1" t="s">
        <v>22</v>
      </c>
      <c r="E9" s="1" t="s">
        <v>23</v>
      </c>
      <c r="F9" s="1" t="s">
        <v>74</v>
      </c>
    </row>
    <row r="10" spans="1:6" x14ac:dyDescent="0.3">
      <c r="A10" s="1">
        <v>784624</v>
      </c>
      <c r="B10" s="1" t="s">
        <v>66</v>
      </c>
      <c r="C10" s="1" t="s">
        <v>44</v>
      </c>
      <c r="D10" s="1" t="s">
        <v>25</v>
      </c>
      <c r="E10" s="1" t="s">
        <v>26</v>
      </c>
      <c r="F10" s="1" t="s">
        <v>75</v>
      </c>
    </row>
    <row r="11" spans="1:6" x14ac:dyDescent="0.3">
      <c r="A11" s="1">
        <v>829320</v>
      </c>
      <c r="B11" s="1" t="s">
        <v>67</v>
      </c>
      <c r="C11" s="1" t="s">
        <v>40</v>
      </c>
      <c r="D11" s="5" t="s">
        <v>27</v>
      </c>
      <c r="E11" s="1" t="s">
        <v>28</v>
      </c>
      <c r="F11" s="37"/>
    </row>
    <row r="12" spans="1:6" x14ac:dyDescent="0.3">
      <c r="A12" s="1">
        <v>861717</v>
      </c>
      <c r="B12" s="1" t="s">
        <v>68</v>
      </c>
      <c r="C12" s="1" t="s">
        <v>40</v>
      </c>
      <c r="D12" s="1" t="s">
        <v>30</v>
      </c>
      <c r="E12" s="1" t="s">
        <v>31</v>
      </c>
    </row>
    <row r="13" spans="1:6" x14ac:dyDescent="0.3">
      <c r="A13" s="1">
        <v>2047756</v>
      </c>
      <c r="B13" s="1" t="s">
        <v>69</v>
      </c>
      <c r="C13" s="1" t="s">
        <v>40</v>
      </c>
    </row>
    <row r="14" spans="1:6" x14ac:dyDescent="0.3">
      <c r="A14" s="1">
        <v>2166527</v>
      </c>
      <c r="B14" s="1" t="s">
        <v>70</v>
      </c>
      <c r="C14" s="1" t="s">
        <v>40</v>
      </c>
    </row>
    <row r="15" spans="1:6" x14ac:dyDescent="0.3">
      <c r="A15" s="1">
        <v>2171357</v>
      </c>
      <c r="B15" s="1" t="s">
        <v>71</v>
      </c>
      <c r="C15" s="1" t="s">
        <v>40</v>
      </c>
    </row>
    <row r="16" spans="1:6" x14ac:dyDescent="0.3">
      <c r="A16" s="1">
        <v>2226051</v>
      </c>
      <c r="B16" s="1" t="s">
        <v>72</v>
      </c>
      <c r="C16" s="1" t="s">
        <v>38</v>
      </c>
    </row>
    <row r="17" spans="1:3" x14ac:dyDescent="0.3">
      <c r="A17" s="1">
        <v>2235968</v>
      </c>
      <c r="B17" s="1" t="s">
        <v>73</v>
      </c>
      <c r="C17" s="1" t="s">
        <v>40</v>
      </c>
    </row>
    <row r="18" spans="1:3" x14ac:dyDescent="0.3">
      <c r="A18" s="1">
        <v>2240930</v>
      </c>
      <c r="B18" s="1" t="s">
        <v>47</v>
      </c>
      <c r="C18" s="1" t="s">
        <v>37</v>
      </c>
    </row>
    <row r="19" spans="1:3" x14ac:dyDescent="0.3">
      <c r="A19" s="1">
        <v>2240934</v>
      </c>
      <c r="B19" s="1" t="s">
        <v>52</v>
      </c>
      <c r="C19" s="1" t="s">
        <v>51</v>
      </c>
    </row>
  </sheetData>
  <sortState xmlns:xlrd2="http://schemas.microsoft.com/office/spreadsheetml/2017/richdata2" ref="D2:E12">
    <sortCondition ref="D2:D12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c35e321-f73a-4dae-ae38-a0459de24735" xsi:nil="true"/>
    <lcf76f155ced4ddcb4097134ff3c332f xmlns="4adf3fe0-24c1-4681-b192-64afd6ed7d0f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5C7078C7A1C4448DCC6E007FC6EB9D" ma:contentTypeVersion="19" ma:contentTypeDescription="Create a new document." ma:contentTypeScope="" ma:versionID="98206177697974e51ec8484fb463764f">
  <xsd:schema xmlns:xsd="http://www.w3.org/2001/XMLSchema" xmlns:xs="http://www.w3.org/2001/XMLSchema" xmlns:p="http://schemas.microsoft.com/office/2006/metadata/properties" xmlns:ns2="4adf3fe0-24c1-4681-b192-64afd6ed7d0f" xmlns:ns3="3ed4ba0f-3890-4cef-915b-9b6507808f5b" xmlns:ns4="3c35e321-f73a-4dae-ae38-a0459de24735" targetNamespace="http://schemas.microsoft.com/office/2006/metadata/properties" ma:root="true" ma:fieldsID="a8548e6983ec70bc026942743dd6f787" ns2:_="" ns3:_="" ns4:_="">
    <xsd:import namespace="4adf3fe0-24c1-4681-b192-64afd6ed7d0f"/>
    <xsd:import namespace="3ed4ba0f-3890-4cef-915b-9b6507808f5b"/>
    <xsd:import namespace="3c35e321-f73a-4dae-ae38-a0459de247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df3fe0-24c1-4681-b192-64afd6ed7d0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63b7d1d5-7262-4eb7-85df-493a730aa64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d4ba0f-3890-4cef-915b-9b6507808f5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35e321-f73a-4dae-ae38-a0459de24735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cc354712-f905-4c29-8ca7-da9cce983027}" ma:internalName="TaxCatchAll" ma:showField="CatchAllData" ma:web="3ed4ba0f-3890-4cef-915b-9b6507808f5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AAAC09E-13C3-48E6-BA12-E35D95A1CD6C}">
  <ds:schemaRefs>
    <ds:schemaRef ds:uri="http://purl.org/dc/dcmitype/"/>
    <ds:schemaRef ds:uri="http://purl.org/dc/terms/"/>
    <ds:schemaRef ds:uri="http://schemas.microsoft.com/office/infopath/2007/PartnerControls"/>
    <ds:schemaRef ds:uri="http://schemas.microsoft.com/office/2006/documentManagement/types"/>
    <ds:schemaRef ds:uri="4adf3fe0-24c1-4681-b192-64afd6ed7d0f"/>
    <ds:schemaRef ds:uri="http://purl.org/dc/elements/1.1/"/>
    <ds:schemaRef ds:uri="http://www.w3.org/XML/1998/namespace"/>
    <ds:schemaRef ds:uri="3c35e321-f73a-4dae-ae38-a0459de24735"/>
    <ds:schemaRef ds:uri="http://schemas.microsoft.com/office/2006/metadata/properties"/>
    <ds:schemaRef ds:uri="http://schemas.openxmlformats.org/package/2006/metadata/core-properties"/>
    <ds:schemaRef ds:uri="3ed4ba0f-3890-4cef-915b-9b6507808f5b"/>
  </ds:schemaRefs>
</ds:datastoreItem>
</file>

<file path=customXml/itemProps2.xml><?xml version="1.0" encoding="utf-8"?>
<ds:datastoreItem xmlns:ds="http://schemas.openxmlformats.org/officeDocument/2006/customXml" ds:itemID="{8180A688-AEEC-4636-B47E-BD0FAF8A29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df3fe0-24c1-4681-b192-64afd6ed7d0f"/>
    <ds:schemaRef ds:uri="3ed4ba0f-3890-4cef-915b-9b6507808f5b"/>
    <ds:schemaRef ds:uri="3c35e321-f73a-4dae-ae38-a0459de247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5B58825-6ECA-4875-95EF-45AF9116935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LOG</vt:lpstr>
      <vt:lpstr>Volante_UtilizationLog_12AUG202</vt:lpstr>
      <vt:lpstr>Ref</vt:lpstr>
      <vt:lpstr>ACTIVITY</vt:lpstr>
      <vt:lpstr>EID</vt:lpstr>
      <vt:lpstr>LCEP_EID</vt:lpstr>
      <vt:lpstr>LCEP_NAME</vt:lpstr>
      <vt:lpstr>LOCATION</vt:lpstr>
      <vt:lpstr>LSS_EID</vt:lpstr>
      <vt:lpstr>LSS_NAME</vt:lpstr>
      <vt:lpstr>NAME</vt:lpstr>
      <vt:lpstr>PORTFOLIO</vt:lpstr>
      <vt:lpstr>USRN_EID</vt:lpstr>
      <vt:lpstr>USRN_NAME</vt:lpstr>
    </vt:vector>
  </TitlesOfParts>
  <Manager/>
  <Company>Cognizant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Eldon Dionela</dc:creator>
  <cp:keywords/>
  <dc:description/>
  <cp:lastModifiedBy>Volante, Ma. Christine (Cognizant)</cp:lastModifiedBy>
  <cp:revision/>
  <dcterms:created xsi:type="dcterms:W3CDTF">2025-07-04T12:29:41Z</dcterms:created>
  <dcterms:modified xsi:type="dcterms:W3CDTF">2025-08-12T14:05:24Z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0x010100E85C7078C7A1C4448DCC6E007FC6EB9D</vt:lpwstr>
  </property>
  <property fmtid="{D5CDD505-2E9C-101B-9397-08002B2CF9AE}" pid="3" name="MediaServiceImageTags">
    <vt:lpwstr/>
  </property>
</Properties>
</file>